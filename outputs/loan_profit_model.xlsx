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ikesh\Downloads\"/>
    </mc:Choice>
  </mc:AlternateContent>
  <xr:revisionPtr revIDLastSave="0" documentId="13_ncr:1_{9DF98575-D90E-4794-A2A5-D018AA32FC02}" xr6:coauthVersionLast="47" xr6:coauthVersionMax="47" xr10:uidLastSave="{00000000-0000-0000-0000-000000000000}"/>
  <bookViews>
    <workbookView xWindow="-110" yWindow="-110" windowWidth="19420" windowHeight="11020" tabRatio="724" activeTab="2" xr2:uid="{00000000-000D-0000-FFFF-FFFF00000000}"/>
  </bookViews>
  <sheets>
    <sheet name="Assumptions" sheetId="1" r:id="rId1"/>
    <sheet name="Bands" sheetId="2" r:id="rId2"/>
    <sheet name="Sensitivit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3" l="1"/>
  <c r="F16" i="3" s="1"/>
  <c r="E15" i="3"/>
  <c r="F15" i="3" s="1"/>
  <c r="E14" i="3"/>
  <c r="F14" i="3" s="1"/>
  <c r="E13" i="3"/>
  <c r="F13" i="3" s="1"/>
  <c r="I14" i="2"/>
  <c r="G7" i="2"/>
  <c r="F7" i="2"/>
  <c r="H7" i="2" s="1"/>
  <c r="E7" i="2"/>
  <c r="F6" i="2"/>
  <c r="H6" i="2" s="1"/>
  <c r="E6" i="2"/>
  <c r="G6" i="2" s="1"/>
  <c r="I6" i="2" s="1"/>
  <c r="H5" i="2"/>
  <c r="F5" i="2"/>
  <c r="E5" i="2"/>
  <c r="G5" i="2" s="1"/>
  <c r="F4" i="2"/>
  <c r="H4" i="2" s="1"/>
  <c r="E4" i="2"/>
  <c r="B7" i="3" s="1"/>
  <c r="B5" i="1"/>
  <c r="I5" i="2" l="1"/>
  <c r="I7" i="2"/>
  <c r="I15" i="2"/>
  <c r="G4" i="2"/>
  <c r="I4" i="2" s="1"/>
  <c r="I16" i="2"/>
  <c r="B5" i="3"/>
  <c r="B8" i="3"/>
  <c r="C8" i="3"/>
  <c r="C5" i="3"/>
  <c r="C7" i="3"/>
  <c r="D7" i="3" s="1"/>
  <c r="E7" i="3" s="1"/>
  <c r="B6" i="3"/>
  <c r="C6" i="3"/>
  <c r="D6" i="3" l="1"/>
  <c r="E6" i="3" s="1"/>
  <c r="D5" i="3"/>
  <c r="D8" i="3"/>
  <c r="E8" i="3" s="1"/>
  <c r="I10" i="2"/>
  <c r="I11" i="2"/>
  <c r="E5" i="3"/>
  <c r="I12" i="2" l="1"/>
  <c r="I13" i="2"/>
</calcChain>
</file>

<file path=xl/sharedStrings.xml><?xml version="1.0" encoding="utf-8"?>
<sst xmlns="http://schemas.openxmlformats.org/spreadsheetml/2006/main" count="52" uniqueCount="48">
  <si>
    <t>Loan Default Risk - Profit Model Assumptions</t>
  </si>
  <si>
    <t>Margin earned on a repaid loan (% of loan amount)</t>
  </si>
  <si>
    <t>Loss on a defaulted loan (% of loan amount)</t>
  </si>
  <si>
    <t>Break-even default rate (reject above this)</t>
  </si>
  <si>
    <t>Notes</t>
  </si>
  <si>
    <t>Money is in the dataset's own currency units; profit shown in millions.</t>
  </si>
  <si>
    <t>Profit by Risk Band</t>
  </si>
  <si>
    <t>Band</t>
  </si>
  <si>
    <t>Customers</t>
  </si>
  <si>
    <t>Default rate</t>
  </si>
  <si>
    <t>Avg loan</t>
  </si>
  <si>
    <t>Good customers</t>
  </si>
  <si>
    <t>Bad customers</t>
  </si>
  <si>
    <t>Interest earned</t>
  </si>
  <si>
    <t>Default loss</t>
  </si>
  <si>
    <t>Net profit (M)</t>
  </si>
  <si>
    <t>Action</t>
  </si>
  <si>
    <t>Low</t>
  </si>
  <si>
    <t>Approve at standard rate</t>
  </si>
  <si>
    <t>Medium</t>
  </si>
  <si>
    <t>Approve and monitor</t>
  </si>
  <si>
    <t>High</t>
  </si>
  <si>
    <t>Higher rate, lower limit or manual review</t>
  </si>
  <si>
    <t>Reject</t>
  </si>
  <si>
    <t>Decline</t>
  </si>
  <si>
    <t>Summary</t>
  </si>
  <si>
    <t>Profit if everyone is approved (M)</t>
  </si>
  <si>
    <t>Profit with model cut-off, Reject band declined (M)</t>
  </si>
  <si>
    <t>Gain from using the model (M)</t>
  </si>
  <si>
    <t>Gain as % of approve-everyone profit</t>
  </si>
  <si>
    <t>Share of customers approved</t>
  </si>
  <si>
    <t>Default rate of approved customers</t>
  </si>
  <si>
    <t>Default rate of rejected customers</t>
  </si>
  <si>
    <t>Inputs in blue come from notebook Block 18 (risk_bands.csv). Excel uses band-average loan size, so totals are close to, but not exactly equal to, the customer-level notebook profit.</t>
  </si>
  <si>
    <t>Sensitivity to the loss assumption</t>
  </si>
  <si>
    <t>Table 1: fixed bands (approve Low, Medium, High) - live formulas</t>
  </si>
  <si>
    <t>Loss per bad loan</t>
  </si>
  <si>
    <t>Profit: approve everyone (M)</t>
  </si>
  <si>
    <t>Profit: model cut-off (M)</t>
  </si>
  <si>
    <t>Gain (M)</t>
  </si>
  <si>
    <t>Gain %</t>
  </si>
  <si>
    <t>Table 2: best cut-off re-chosen for each loss value - results from notebook Block 19 (hardcoded)</t>
  </si>
  <si>
    <t>Share approved</t>
  </si>
  <si>
    <t>Profit: best cut-off (M)</t>
  </si>
  <si>
    <t>Table 1 keeps the Reject band fixed, so its gain is only approximate. Table 2 re-picks the cut-off per loss value at customer level in the notebook, so it is the one to quote.</t>
  </si>
  <si>
    <t xml:space="preserve">Band data comes from risk_bands.csv produced in notebook Block 18 </t>
  </si>
  <si>
    <t>Margin and loss are my own assumptions, not real bank figures.</t>
  </si>
  <si>
    <t>Edit only the yellow cells. Everything else recalculates.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</si>
</sst>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;\(#,##0.0\);\-"/>
    <numFmt numFmtId="166" formatCode="#,##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164" fontId="2" fillId="0" borderId="0" xfId="0" applyNumberFormat="1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3" fillId="0" borderId="1" xfId="0" applyNumberFormat="1" applyFont="1" applyBorder="1"/>
    <xf numFmtId="10" fontId="3" fillId="0" borderId="1" xfId="0" applyNumberFormat="1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0" fontId="6" fillId="0" borderId="0" xfId="0" applyFont="1"/>
    <xf numFmtId="9" fontId="3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6" fontId="3" fillId="0" borderId="1" xfId="0" applyNumberFormat="1" applyFont="1" applyBorder="1"/>
    <xf numFmtId="166" fontId="2" fillId="0" borderId="1" xfId="0" applyNumberFormat="1" applyFont="1" applyBorder="1"/>
    <xf numFmtId="0" fontId="4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profit and default rate by risk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Bands!$I$3</c:f>
              <c:strCache>
                <c:ptCount val="1"/>
                <c:pt idx="0">
                  <c:v>Net profit (M)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Bands!$A$4:$A$7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Reject</c:v>
                </c:pt>
              </c:strCache>
            </c:strRef>
          </c:cat>
          <c:val>
            <c:numRef>
              <c:f>Bands!$I$4:$I$7</c:f>
              <c:numCache>
                <c:formatCode>#,##0.0;\(#,##0.0\);\-</c:formatCode>
                <c:ptCount val="4"/>
                <c:pt idx="0">
                  <c:v>2910.5698879751999</c:v>
                </c:pt>
                <c:pt idx="1">
                  <c:v>581.53531936822515</c:v>
                </c:pt>
                <c:pt idx="2">
                  <c:v>139.09052718749999</c:v>
                </c:pt>
                <c:pt idx="3">
                  <c:v>-195.78287987122505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9-41A3-AFAE-D44EA7F2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19317"/>
        <c:axId val="170743"/>
      </c:barChart>
      <c:lineChart>
        <c:grouping val="standard"/>
        <c:varyColors val="0"/>
        <c:ser>
          <c:idx val="1"/>
          <c:order val="1"/>
          <c:tx>
            <c:strRef>
              <c:f>Bands!$C$3</c:f>
              <c:strCache>
                <c:ptCount val="1"/>
                <c:pt idx="0">
                  <c:v>Default rate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Bands!$A$4:$A$7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Reject</c:v>
                </c:pt>
              </c:strCache>
            </c:strRef>
          </c:cat>
          <c:val>
            <c:numRef>
              <c:f>Bands!$C$4:$C$7</c:f>
              <c:numCache>
                <c:formatCode>0.00%</c:formatCode>
                <c:ptCount val="4"/>
                <c:pt idx="0">
                  <c:v>3.2800000000000003E-2</c:v>
                </c:pt>
                <c:pt idx="1">
                  <c:v>9.1300000000000006E-2</c:v>
                </c:pt>
                <c:pt idx="2">
                  <c:v>0.1525</c:v>
                </c:pt>
                <c:pt idx="3">
                  <c:v>0.30370000000000003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09-41A3-AFAE-D44EA7F2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856886"/>
        <c:axId val="85506221"/>
      </c:lineChart>
      <c:catAx>
        <c:axId val="12019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0743"/>
        <c:crosses val="autoZero"/>
        <c:auto val="1"/>
        <c:lblAlgn val="ctr"/>
        <c:lblOffset val="100"/>
        <c:noMultiLvlLbl val="0"/>
      </c:catAx>
      <c:valAx>
        <c:axId val="170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profit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19317"/>
        <c:crosses val="autoZero"/>
        <c:crossBetween val="between"/>
      </c:valAx>
      <c:catAx>
        <c:axId val="648568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06221"/>
        <c:crosses val="autoZero"/>
        <c:auto val="1"/>
        <c:lblAlgn val="ctr"/>
        <c:lblOffset val="100"/>
        <c:noMultiLvlLbl val="0"/>
      </c:catAx>
      <c:valAx>
        <c:axId val="8550622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56886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160560</xdr:rowOff>
    </xdr:from>
    <xdr:to>
      <xdr:col>6</xdr:col>
      <xdr:colOff>480960</xdr:colOff>
      <xdr:row>34</xdr:row>
      <xdr:rowOff>172080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73" zoomScaleNormal="100" workbookViewId="0">
      <selection activeCell="A7" sqref="A7:A11"/>
    </sheetView>
  </sheetViews>
  <sheetFormatPr defaultColWidth="8.6328125" defaultRowHeight="14.5" x14ac:dyDescent="0.35"/>
  <cols>
    <col min="1" max="1" width="62" customWidth="1"/>
    <col min="2" max="2" width="14" customWidth="1"/>
  </cols>
  <sheetData>
    <row r="1" spans="1:2" ht="18" x14ac:dyDescent="0.4">
      <c r="A1" s="1" t="s">
        <v>0</v>
      </c>
    </row>
    <row r="3" spans="1:2" x14ac:dyDescent="0.35">
      <c r="A3" s="2" t="s">
        <v>1</v>
      </c>
      <c r="B3" s="3">
        <v>0.15</v>
      </c>
    </row>
    <row r="4" spans="1:2" x14ac:dyDescent="0.35">
      <c r="A4" s="2" t="s">
        <v>2</v>
      </c>
      <c r="B4" s="3">
        <v>0.6</v>
      </c>
    </row>
    <row r="5" spans="1:2" x14ac:dyDescent="0.35">
      <c r="A5" s="2" t="s">
        <v>3</v>
      </c>
      <c r="B5" s="4">
        <f>B3/(B3+B4)</f>
        <v>0.19999999999999998</v>
      </c>
    </row>
    <row r="6" spans="1:2" ht="15" thickBot="1" x14ac:dyDescent="0.4"/>
    <row r="7" spans="1:2" x14ac:dyDescent="0.35">
      <c r="A7" s="19" t="s">
        <v>4</v>
      </c>
    </row>
    <row r="8" spans="1:2" x14ac:dyDescent="0.35">
      <c r="A8" s="20" t="s">
        <v>47</v>
      </c>
    </row>
    <row r="9" spans="1:2" x14ac:dyDescent="0.35">
      <c r="A9" s="20" t="s">
        <v>46</v>
      </c>
    </row>
    <row r="10" spans="1:2" x14ac:dyDescent="0.35">
      <c r="A10" s="20" t="s">
        <v>45</v>
      </c>
    </row>
    <row r="11" spans="1:2" ht="15" thickBot="1" x14ac:dyDescent="0.4">
      <c r="A11" s="21" t="s"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A18" zoomScaleNormal="100" workbookViewId="0">
      <selection activeCell="G4" sqref="G4"/>
    </sheetView>
  </sheetViews>
  <sheetFormatPr defaultColWidth="8.6328125" defaultRowHeight="14.5" x14ac:dyDescent="0.35"/>
  <cols>
    <col min="1" max="1" width="14" customWidth="1"/>
    <col min="2" max="4" width="12" customWidth="1"/>
    <col min="5" max="6" width="15" customWidth="1"/>
    <col min="7" max="8" width="18" customWidth="1"/>
    <col min="9" max="9" width="15" customWidth="1"/>
    <col min="10" max="10" width="40" customWidth="1"/>
  </cols>
  <sheetData>
    <row r="1" spans="1:10" ht="18" x14ac:dyDescent="0.4">
      <c r="A1" s="1" t="s">
        <v>6</v>
      </c>
    </row>
    <row r="3" spans="1:10" ht="31.5" customHeight="1" x14ac:dyDescent="0.35">
      <c r="A3" s="6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</row>
    <row r="4" spans="1:10" x14ac:dyDescent="0.35">
      <c r="A4" s="7" t="s">
        <v>17</v>
      </c>
      <c r="B4" s="8">
        <v>36901</v>
      </c>
      <c r="C4" s="9">
        <v>3.2800000000000003E-2</v>
      </c>
      <c r="D4" s="8">
        <v>628988</v>
      </c>
      <c r="E4" s="10">
        <f>B4*(1-C4)</f>
        <v>35690.647199999999</v>
      </c>
      <c r="F4" s="10">
        <f>B4*C4</f>
        <v>1210.3528000000001</v>
      </c>
      <c r="G4" s="10">
        <f>E4*D4*Assumptions!$B$3</f>
        <v>3367348320.1550398</v>
      </c>
      <c r="H4" s="10">
        <f>F4*D4*Assumptions!$B$4</f>
        <v>456778432.17984003</v>
      </c>
      <c r="I4" s="11">
        <f>(G4-H4)/1000000</f>
        <v>2910.5698879751999</v>
      </c>
      <c r="J4" s="7" t="s">
        <v>18</v>
      </c>
    </row>
    <row r="5" spans="1:10" x14ac:dyDescent="0.35">
      <c r="A5" s="7" t="s">
        <v>19</v>
      </c>
      <c r="B5" s="8">
        <v>12301</v>
      </c>
      <c r="C5" s="9">
        <v>9.1300000000000006E-2</v>
      </c>
      <c r="D5" s="8">
        <v>579889</v>
      </c>
      <c r="E5" s="10">
        <f>B5*(1-C5)</f>
        <v>11177.9187</v>
      </c>
      <c r="F5" s="10">
        <f>B5*C5</f>
        <v>1123.0813000000001</v>
      </c>
      <c r="G5" s="10">
        <f>E5*D5*Assumptions!$B$3</f>
        <v>972292814.55364501</v>
      </c>
      <c r="H5" s="10">
        <f>F5*D5*Assumptions!$B$4</f>
        <v>390757495.18541998</v>
      </c>
      <c r="I5" s="11">
        <f>(G5-H5)/1000000</f>
        <v>581.53531936822515</v>
      </c>
      <c r="J5" s="7" t="s">
        <v>20</v>
      </c>
    </row>
    <row r="6" spans="1:10" x14ac:dyDescent="0.35">
      <c r="A6" s="7" t="s">
        <v>21</v>
      </c>
      <c r="B6" s="8">
        <v>7300</v>
      </c>
      <c r="C6" s="9">
        <v>0.1525</v>
      </c>
      <c r="D6" s="8">
        <v>534835</v>
      </c>
      <c r="E6" s="10">
        <f>B6*(1-C6)</f>
        <v>6186.75</v>
      </c>
      <c r="F6" s="10">
        <f>B6*C6</f>
        <v>1113.25</v>
      </c>
      <c r="G6" s="10">
        <f>E6*D6*Assumptions!$B$3</f>
        <v>496333565.4375</v>
      </c>
      <c r="H6" s="10">
        <f>F6*D6*Assumptions!$B$4</f>
        <v>357243038.25</v>
      </c>
      <c r="I6" s="11">
        <f>(G6-H6)/1000000</f>
        <v>139.09052718749999</v>
      </c>
      <c r="J6" s="7" t="s">
        <v>22</v>
      </c>
    </row>
    <row r="7" spans="1:10" x14ac:dyDescent="0.35">
      <c r="A7" s="7" t="s">
        <v>23</v>
      </c>
      <c r="B7" s="8">
        <v>5001</v>
      </c>
      <c r="C7" s="9">
        <v>0.30370000000000003</v>
      </c>
      <c r="D7" s="8">
        <v>503359</v>
      </c>
      <c r="E7" s="10">
        <f>B7*(1-C7)</f>
        <v>3482.1962999999996</v>
      </c>
      <c r="F7" s="10">
        <f>B7*C7</f>
        <v>1518.8037000000002</v>
      </c>
      <c r="G7" s="10">
        <f>E7*D7*Assumptions!$B$3</f>
        <v>262919227.10575497</v>
      </c>
      <c r="H7" s="10">
        <f>F7*D7*Assumptions!$B$4</f>
        <v>458702106.97698003</v>
      </c>
      <c r="I7" s="11">
        <f>(G7-H7)/1000000</f>
        <v>-195.78287987122505</v>
      </c>
      <c r="J7" s="7" t="s">
        <v>24</v>
      </c>
    </row>
    <row r="9" spans="1:10" x14ac:dyDescent="0.35">
      <c r="A9" s="5" t="s">
        <v>25</v>
      </c>
    </row>
    <row r="10" spans="1:10" x14ac:dyDescent="0.35">
      <c r="A10" s="2" t="s">
        <v>26</v>
      </c>
      <c r="I10" s="12">
        <f>SUM(I4:I7)</f>
        <v>3435.4128546596999</v>
      </c>
    </row>
    <row r="11" spans="1:10" x14ac:dyDescent="0.35">
      <c r="A11" s="2" t="s">
        <v>27</v>
      </c>
      <c r="I11" s="12">
        <f>SUM(I4:I6)</f>
        <v>3631.1957345309247</v>
      </c>
    </row>
    <row r="12" spans="1:10" x14ac:dyDescent="0.35">
      <c r="A12" s="2" t="s">
        <v>28</v>
      </c>
      <c r="I12" s="12">
        <f>I11-I10</f>
        <v>195.78287987122485</v>
      </c>
    </row>
    <row r="13" spans="1:10" x14ac:dyDescent="0.35">
      <c r="A13" s="2" t="s">
        <v>29</v>
      </c>
      <c r="I13" s="4">
        <f>IF(I10=0,0,I12/I10)</f>
        <v>5.6989621962225095E-2</v>
      </c>
    </row>
    <row r="14" spans="1:10" x14ac:dyDescent="0.35">
      <c r="A14" s="2" t="s">
        <v>30</v>
      </c>
      <c r="I14" s="4">
        <f>SUM(B4:B6)/SUM(B4:B7)</f>
        <v>0.91868689332227693</v>
      </c>
    </row>
    <row r="15" spans="1:10" x14ac:dyDescent="0.35">
      <c r="A15" s="2" t="s">
        <v>31</v>
      </c>
      <c r="I15" s="4">
        <f>SUM(F4:F6)/SUM(B4:B6)</f>
        <v>6.1001099076138904E-2</v>
      </c>
    </row>
    <row r="16" spans="1:10" x14ac:dyDescent="0.35">
      <c r="A16" s="2" t="s">
        <v>32</v>
      </c>
      <c r="I16" s="4">
        <f>F7/B7</f>
        <v>0.30370000000000003</v>
      </c>
    </row>
    <row r="18" spans="1:1" x14ac:dyDescent="0.35">
      <c r="A18" s="13" t="s">
        <v>33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zoomScaleNormal="100" workbookViewId="0"/>
  </sheetViews>
  <sheetFormatPr defaultColWidth="8.6328125" defaultRowHeight="14.5" x14ac:dyDescent="0.35"/>
  <cols>
    <col min="1" max="1" width="18" customWidth="1"/>
    <col min="2" max="2" width="20" customWidth="1"/>
    <col min="3" max="4" width="22" customWidth="1"/>
    <col min="5" max="5" width="14" customWidth="1"/>
    <col min="6" max="6" width="12" customWidth="1"/>
  </cols>
  <sheetData>
    <row r="1" spans="1:6" ht="18" x14ac:dyDescent="0.4">
      <c r="A1" s="1" t="s">
        <v>34</v>
      </c>
    </row>
    <row r="3" spans="1:6" x14ac:dyDescent="0.35">
      <c r="A3" s="5" t="s">
        <v>35</v>
      </c>
    </row>
    <row r="4" spans="1:6" ht="31.5" customHeight="1" x14ac:dyDescent="0.35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</row>
    <row r="5" spans="1:6" x14ac:dyDescent="0.35">
      <c r="A5" s="14">
        <v>0.4</v>
      </c>
      <c r="B5" s="11">
        <f>(SUMPRODUCT(Bands!$E$4:$E$7,Bands!$D$4:$D$7)*Assumptions!$B$3-SUMPRODUCT(Bands!$F$4:$F$7,Bands!$D$4:$D$7)*A5)/1000000</f>
        <v>3989.9065455237801</v>
      </c>
      <c r="C5" s="11">
        <f>(SUMPRODUCT(Bands!$E$4:$E$6,Bands!$D$4:$D$6)*Assumptions!$B$3-SUMPRODUCT(Bands!$F$4:$F$6,Bands!$D$4:$D$6)*A5)/1000000</f>
        <v>4032.788723069345</v>
      </c>
      <c r="D5" s="11">
        <f>C5-B5</f>
        <v>42.8821775455649</v>
      </c>
      <c r="E5" s="15">
        <f>IF(B5=0,0,D5/B5)</f>
        <v>1.0747664652364805E-2</v>
      </c>
    </row>
    <row r="6" spans="1:6" x14ac:dyDescent="0.35">
      <c r="A6" s="14">
        <v>0.6</v>
      </c>
      <c r="B6" s="11">
        <f>(SUMPRODUCT(Bands!$E$4:$E$7,Bands!$D$4:$D$7)*Assumptions!$B$3-SUMPRODUCT(Bands!$F$4:$F$7,Bands!$D$4:$D$7)*A6)/1000000</f>
        <v>3435.4128546596994</v>
      </c>
      <c r="C6" s="11">
        <f>(SUMPRODUCT(Bands!$E$4:$E$6,Bands!$D$4:$D$6)*Assumptions!$B$3-SUMPRODUCT(Bands!$F$4:$F$6,Bands!$D$4:$D$6)*A6)/1000000</f>
        <v>3631.1957345309247</v>
      </c>
      <c r="D6" s="11">
        <f>C6-B6</f>
        <v>195.7828798712253</v>
      </c>
      <c r="E6" s="15">
        <f>IF(B6=0,0,D6/B6)</f>
        <v>5.6989621962225241E-2</v>
      </c>
    </row>
    <row r="7" spans="1:6" x14ac:dyDescent="0.35">
      <c r="A7" s="14">
        <v>0.8</v>
      </c>
      <c r="B7" s="11">
        <f>(SUMPRODUCT(Bands!$E$4:$E$7,Bands!$D$4:$D$7)*Assumptions!$B$3-SUMPRODUCT(Bands!$F$4:$F$7,Bands!$D$4:$D$7)*A7)/1000000</f>
        <v>2880.9191637956196</v>
      </c>
      <c r="C7" s="11">
        <f>(SUMPRODUCT(Bands!$E$4:$E$6,Bands!$D$4:$D$6)*Assumptions!$B$3-SUMPRODUCT(Bands!$F$4:$F$6,Bands!$D$4:$D$6)*A7)/1000000</f>
        <v>3229.6027459925049</v>
      </c>
      <c r="D7" s="11">
        <f>C7-B7</f>
        <v>348.68358219688525</v>
      </c>
      <c r="E7" s="15">
        <f>IF(B7=0,0,D7/B7)</f>
        <v>0.12103206038502434</v>
      </c>
    </row>
    <row r="8" spans="1:6" x14ac:dyDescent="0.35">
      <c r="A8" s="14">
        <v>1</v>
      </c>
      <c r="B8" s="11">
        <f>(SUMPRODUCT(Bands!$E$4:$E$7,Bands!$D$4:$D$7)*Assumptions!$B$3-SUMPRODUCT(Bands!$F$4:$F$7,Bands!$D$4:$D$7)*A8)/1000000</f>
        <v>2326.4254729315394</v>
      </c>
      <c r="C8" s="11">
        <f>(SUMPRODUCT(Bands!$E$4:$E$6,Bands!$D$4:$D$6)*Assumptions!$B$3-SUMPRODUCT(Bands!$F$4:$F$6,Bands!$D$4:$D$6)*A8)/1000000</f>
        <v>2828.009757454085</v>
      </c>
      <c r="D8" s="11">
        <f>C8-B8</f>
        <v>501.58428452254566</v>
      </c>
      <c r="E8" s="15">
        <f>IF(B8=0,0,D8/B8)</f>
        <v>0.21560298851546575</v>
      </c>
    </row>
    <row r="11" spans="1:6" x14ac:dyDescent="0.35">
      <c r="A11" s="5" t="s">
        <v>41</v>
      </c>
    </row>
    <row r="12" spans="1:6" ht="31.5" customHeight="1" x14ac:dyDescent="0.35">
      <c r="A12" s="6" t="s">
        <v>36</v>
      </c>
      <c r="B12" s="6" t="s">
        <v>42</v>
      </c>
      <c r="C12" s="6" t="s">
        <v>37</v>
      </c>
      <c r="D12" s="6" t="s">
        <v>43</v>
      </c>
      <c r="E12" s="6" t="s">
        <v>39</v>
      </c>
      <c r="F12" s="6" t="s">
        <v>40</v>
      </c>
    </row>
    <row r="13" spans="1:6" x14ac:dyDescent="0.35">
      <c r="A13" s="14">
        <v>0.4</v>
      </c>
      <c r="B13" s="16">
        <v>0.94699999999999995</v>
      </c>
      <c r="C13" s="17">
        <v>3988.3</v>
      </c>
      <c r="D13" s="17">
        <v>4057.5</v>
      </c>
      <c r="E13" s="18">
        <f>D13-C13</f>
        <v>69.199999999999818</v>
      </c>
      <c r="F13" s="15">
        <f>IF(C13=0,0,E13/C13)</f>
        <v>1.7350750946518521E-2</v>
      </c>
    </row>
    <row r="14" spans="1:6" x14ac:dyDescent="0.35">
      <c r="A14" s="14">
        <v>0.6</v>
      </c>
      <c r="B14" s="16">
        <v>0.91900000000000004</v>
      </c>
      <c r="C14" s="17">
        <v>3433.2</v>
      </c>
      <c r="D14" s="17">
        <v>3636.8</v>
      </c>
      <c r="E14" s="18">
        <f>D14-C14</f>
        <v>203.60000000000036</v>
      </c>
      <c r="F14" s="15">
        <f>IF(C14=0,0,E14/C14)</f>
        <v>5.9303273913550149E-2</v>
      </c>
    </row>
    <row r="15" spans="1:6" x14ac:dyDescent="0.35">
      <c r="A15" s="14">
        <v>0.8</v>
      </c>
      <c r="B15" s="16">
        <v>0.876</v>
      </c>
      <c r="C15" s="17">
        <v>2878.2</v>
      </c>
      <c r="D15" s="17">
        <v>3276.3</v>
      </c>
      <c r="E15" s="18">
        <f>D15-C15</f>
        <v>398.10000000000036</v>
      </c>
      <c r="F15" s="15">
        <f>IF(C15=0,0,E15/C15)</f>
        <v>0.13831561392537015</v>
      </c>
    </row>
    <row r="16" spans="1:6" x14ac:dyDescent="0.35">
      <c r="A16" s="14">
        <v>1</v>
      </c>
      <c r="B16" s="16">
        <v>0.83299999999999996</v>
      </c>
      <c r="C16" s="17">
        <v>2323.1</v>
      </c>
      <c r="D16" s="17">
        <v>2950.9</v>
      </c>
      <c r="E16" s="18">
        <f>D16-C16</f>
        <v>627.80000000000018</v>
      </c>
      <c r="F16" s="15">
        <f>IF(C16=0,0,E16/C16)</f>
        <v>0.27024234858594126</v>
      </c>
    </row>
    <row r="18" spans="1:1" x14ac:dyDescent="0.35">
      <c r="A18" s="1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Bands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RITIKESH KUNWAR(BTECH10169.24@bitmesra.ac.in)</cp:lastModifiedBy>
  <cp:revision>1</cp:revision>
  <dcterms:created xsi:type="dcterms:W3CDTF">2026-10-01T21:18:54Z</dcterms:created>
  <dcterms:modified xsi:type="dcterms:W3CDTF">2026-10-05T00:49:30Z</dcterms:modified>
  <dc:language>en-US</dc:language>
</cp:coreProperties>
</file>